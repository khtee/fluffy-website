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<sst xmlns="http://schemas.openxmlformats.org/spreadsheetml/2006/main" count="16" uniqueCount="11">
  <si>
    <t>Check in date:</t>
  </si>
  <si>
    <t>Check out date:</t>
  </si>
  <si>
    <t>Number of nights:</t>
  </si>
  <si>
    <t>Number of cats:</t>
  </si>
  <si>
    <t>Room type:</t>
  </si>
  <si>
    <t>standard</t>
  </si>
  <si>
    <t>Boarding rate per night:</t>
  </si>
  <si>
    <t>Total:</t>
  </si>
  <si>
    <t>Deposit:</t>
  </si>
  <si>
    <t>deluxe</t>
  </si>
  <si>
    <t>Total for two rooms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</si>
</sst>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&quot; (&quot;ddd&quot;)&quot;"/>
    <numFmt numFmtId="165" formatCode="[$RM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18.5"/>
    <col customWidth="1" min="3" max="3" width="15.63"/>
    <col customWidth="1" min="4" max="4" width="22.13"/>
    <col customWidth="1" min="5" max="5" width="19.75"/>
  </cols>
  <sheetData>
    <row r="1">
      <c r="A1" s="1" t="s">
        <v>0</v>
      </c>
      <c r="B1" s="2">
        <v>46261.0</v>
      </c>
    </row>
    <row r="2">
      <c r="A2" s="1" t="s">
        <v>1</v>
      </c>
      <c r="B2" s="2">
        <v>46267.0</v>
      </c>
    </row>
    <row r="3">
      <c r="A3" s="1" t="s">
        <v>2</v>
      </c>
      <c r="B3" s="3">
        <f>B2-B1</f>
        <v>6</v>
      </c>
    </row>
    <row r="4">
      <c r="A4" s="1" t="s">
        <v>3</v>
      </c>
      <c r="B4" s="4">
        <v>1.0</v>
      </c>
    </row>
    <row r="5">
      <c r="A5" s="1" t="s">
        <v>4</v>
      </c>
      <c r="B5" s="4" t="s">
        <v>5</v>
      </c>
    </row>
    <row r="6">
      <c r="A6" s="1" t="s">
        <v>6</v>
      </c>
      <c r="B6" s="5">
        <f>IF(B5="Standard", 25 + IF(B4&gt;1, (B4-1)*10, 0), IF(B5="Deluxe", 35 + IF(B4&gt;1, (B4-1)*10, 0), 0))</f>
        <v>25</v>
      </c>
    </row>
    <row r="7">
      <c r="A7" s="1" t="s">
        <v>7</v>
      </c>
      <c r="B7" s="6">
        <f>B3*B6</f>
        <v>150</v>
      </c>
    </row>
    <row r="8">
      <c r="A8" s="1" t="s">
        <v>8</v>
      </c>
      <c r="B8" s="6">
        <f>_xlfn.CEILING.MATH(B7/2,1)</f>
        <v>75</v>
      </c>
    </row>
    <row r="10">
      <c r="A10" s="1" t="s">
        <v>2</v>
      </c>
      <c r="B10" s="3">
        <f>B2-B1</f>
        <v>6</v>
      </c>
    </row>
    <row r="11">
      <c r="A11" s="1" t="s">
        <v>3</v>
      </c>
      <c r="B11" s="4">
        <v>2.0</v>
      </c>
    </row>
    <row r="12">
      <c r="A12" s="1" t="s">
        <v>4</v>
      </c>
      <c r="B12" s="4" t="s">
        <v>9</v>
      </c>
    </row>
    <row r="13">
      <c r="A13" s="1" t="s">
        <v>6</v>
      </c>
      <c r="B13" s="5">
        <f>IF(B12="Standard", 25 + IF(B11&gt;1, (B11-1)*10, 0), IF(B12="Deluxe", 35 + IF(B11&gt;1, (B11-1)*10, 0), 0))</f>
        <v>45</v>
      </c>
    </row>
    <row r="14">
      <c r="A14" s="1" t="s">
        <v>7</v>
      </c>
      <c r="B14" s="6">
        <f>B10*B13</f>
        <v>270</v>
      </c>
    </row>
    <row r="15">
      <c r="B15" s="6"/>
    </row>
    <row r="16">
      <c r="A16" s="1" t="s">
        <v>10</v>
      </c>
      <c r="B16" s="5">
        <f>B7+B14</f>
        <v>420</v>
      </c>
    </row>
    <row r="17">
      <c r="B17" s="5"/>
    </row>
    <row r="18">
      <c r="B18" s="3"/>
    </row>
    <row r="19">
      <c r="B19" s="4"/>
    </row>
    <row r="20">
      <c r="B20" s="6"/>
    </row>
    <row r="21">
      <c r="B21" s="3"/>
    </row>
    <row r="22">
      <c r="B22" s="5"/>
    </row>
    <row r="23">
      <c r="B23" s="2"/>
    </row>
    <row r="24">
      <c r="B24" s="2"/>
    </row>
    <row r="25">
      <c r="B25" s="3"/>
    </row>
    <row r="26">
      <c r="B26" s="4"/>
    </row>
    <row r="27">
      <c r="B27" s="4"/>
    </row>
    <row r="28">
      <c r="B28" s="5"/>
    </row>
    <row r="29">
      <c r="B29" s="5"/>
    </row>
    <row r="30">
      <c r="B30" s="3"/>
    </row>
    <row r="31">
      <c r="B31" s="3"/>
    </row>
    <row r="32">
      <c r="B32" s="2"/>
    </row>
    <row r="33">
      <c r="B33" s="2"/>
    </row>
    <row r="34">
      <c r="B34" s="3"/>
    </row>
    <row r="35">
      <c r="B35" s="4"/>
    </row>
    <row r="36">
      <c r="B36" s="4"/>
    </row>
    <row r="37">
      <c r="B37" s="5"/>
    </row>
    <row r="38">
      <c r="B38" s="5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</sheetData>
  <dataValidations>
    <dataValidation type="list" allowBlank="1" showErrorMessage="1" sqref="B5 B12">
      <formula1>"standard,deluxe"</formula1>
    </dataValidation>
  </dataValidations>
  <drawing r:id="rId1"/>
</worksheet>
</file>